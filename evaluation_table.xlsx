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Evaluation Table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<sst xmlns="http://schemas.openxmlformats.org/spreadsheetml/2006/main" count="104" uniqueCount="85">
  <si>
    <t xml:space="preserve">How to fill in this evaluation table</t>
  </si>
  <si>
    <t xml:space="preserve">1. Run the Kaggle notebook (rag_astronomy.ipynb). It produces eval_results.csv.</t>
  </si>
  <si>
    <t xml:space="preserve">2. Open the Evaluation Table sheet.</t>
  </si>
  <si>
    <t xml:space="preserve">3. For each question, paste the Baseline Final Answer and Improved Final Answer from eval_results.csv into columns F and J.</t>
  </si>
  <si>
    <t xml:space="preserve">4. Paste the source labels (e.g., "Hubble Space Telescope, JWST, Mars") into columns E and I.</t>
  </si>
  <si>
    <t xml:space="preserve">5. Use the dropdowns in columns G, H, K, L to mark Correct? (Yes/Partial/No) and Hallucinated? (Yes/No).</t>
  </si>
  <si>
    <t xml:space="preserve">6. Fill column M (Failure Reason) using one of: wrong chunk, hallucination, incomplete, prompt ignored, ambiguous, refused.</t>
  </si>
  <si>
    <t xml:space="preserve">7. The Summary sheet auto-calculates accuracy and hallucination rate for the report.</t>
  </si>
  <si>
    <t xml:space="preserve">Row color codes in Evaluation Table:</t>
  </si>
  <si>
    <t xml:space="preserve">  Blue   = factual questions</t>
  </si>
  <si>
    <t xml:space="preserve">  Green  = multi-step reasoning</t>
  </si>
  <si>
    <t xml:space="preserve">  Yellow = ambiguous</t>
  </si>
  <si>
    <t xml:space="preserve">  Red    = hallucination/false-premise</t>
  </si>
  <si>
    <t xml:space="preserve">#</t>
  </si>
  <si>
    <t xml:space="preserve">Type</t>
  </si>
  <si>
    <t xml:space="preserve">Question</t>
  </si>
  <si>
    <t xml:space="preserve">Expected Answer</t>
  </si>
  <si>
    <t xml:space="preserve">Baseline Retrieved Sources</t>
  </si>
  <si>
    <t xml:space="preserve">Baseline Final Answer</t>
  </si>
  <si>
    <t xml:space="preserve">Baseline Correct?</t>
  </si>
  <si>
    <t xml:space="preserve">Baseline Hallucinated?</t>
  </si>
  <si>
    <t xml:space="preserve">Improved Retrieved Sources</t>
  </si>
  <si>
    <t xml:space="preserve">Improved Final Answer</t>
  </si>
  <si>
    <t xml:space="preserve">Improved Correct?</t>
  </si>
  <si>
    <t xml:space="preserve">Improved Hallucinated?</t>
  </si>
  <si>
    <t xml:space="preserve">Failure Reason</t>
  </si>
  <si>
    <t xml:space="preserve">Notes</t>
  </si>
  <si>
    <t xml:space="preserve">factual</t>
  </si>
  <si>
    <t xml:space="preserve">When was the James Webb Space Telescope launched?</t>
  </si>
  <si>
    <t xml:space="preserve">December 25, 2021</t>
  </si>
  <si>
    <t xml:space="preserve">What is the largest moon of Jupiter?</t>
  </si>
  <si>
    <t xml:space="preserve">Ganymede</t>
  </si>
  <si>
    <t xml:space="preserve">Who was the first person to walk on the Moon?</t>
  </si>
  <si>
    <t xml:space="preserve">Neil Armstrong (Apollo 11)</t>
  </si>
  <si>
    <t xml:space="preserve">How many planets did Voyager 2 visit during its flybys?</t>
  </si>
  <si>
    <t xml:space="preserve">Four: Jupiter, Saturn, Uranus, Neptune</t>
  </si>
  <si>
    <t xml:space="preserve">What is the approximate surface temperature of Venus?</t>
  </si>
  <si>
    <t xml:space="preserve">About 465 deg C / 737 K</t>
  </si>
  <si>
    <t xml:space="preserve">When did Chandrayaan-3 land on the Moon?</t>
  </si>
  <si>
    <t xml:space="preserve">August 23, 2023</t>
  </si>
  <si>
    <t xml:space="preserve">reasoning</t>
  </si>
  <si>
    <t xml:space="preserve">Which is larger, Jupiter or Saturn, and roughly by how much?</t>
  </si>
  <si>
    <t xml:space="preserve">Jupiter is larger by mass and diameter</t>
  </si>
  <si>
    <t xml:space="preserve">Which Voyager spacecraft has traveled farthest from Earth, and what was its primary scientific contribution?</t>
  </si>
  <si>
    <t xml:space="preserve">Voyager 1; interstellar space / outer planets imaging</t>
  </si>
  <si>
    <t xml:space="preserve">Compare the scientific missions of the Curiosity and Perseverance rovers.</t>
  </si>
  <si>
    <t xml:space="preserve">Both Mars rovers; Curiosity studies habitability, Perseverance seeks biosignatures + sample caching</t>
  </si>
  <si>
    <t xml:space="preserve">Which planets in our solar system have ring systems, and which planet has the most prominent rings?</t>
  </si>
  <si>
    <t xml:space="preserve">Jupiter, Saturn, Uranus, Neptune all have rings; Saturn most prominent</t>
  </si>
  <si>
    <t xml:space="preserve">What is the relationship between supernovae and neutron stars?</t>
  </si>
  <si>
    <t xml:space="preserve">Neutron stars form from core-collapse supernova remnants of massive stars</t>
  </si>
  <si>
    <t xml:space="preserve">ambiguous</t>
  </si>
  <si>
    <t xml:space="preserve">Tell me about Mars.</t>
  </si>
  <si>
    <t xml:space="preserve">Could refer to planet or Mars missions/rovers</t>
  </si>
  <si>
    <t xml:space="preserve">What is a giant?</t>
  </si>
  <si>
    <t xml:space="preserve">Could refer to giant star or gas giant planet</t>
  </si>
  <si>
    <t xml:space="preserve">What is the most famous discovery?</t>
  </si>
  <si>
    <t xml:space="preserve">Underspecified - which field?</t>
  </si>
  <si>
    <t xml:space="preserve">How big is it?</t>
  </si>
  <si>
    <t xml:space="preserve">Underspecified - missing subject</t>
  </si>
  <si>
    <t xml:space="preserve">hallucination</t>
  </si>
  <si>
    <t xml:space="preserve">Who was the first Indian astronaut to walk on the surface of Mars?</t>
  </si>
  <si>
    <t xml:space="preserve">No one has walked on Mars; question is false-premise</t>
  </si>
  <si>
    <t xml:space="preserve">What did Voyager 3 discover during its mission?</t>
  </si>
  <si>
    <t xml:space="preserve">Voyager 3 does not exist; only Voyager 1 and 2 were launched</t>
  </si>
  <si>
    <t xml:space="preserve">Summarize the successful Pluto landing mission of 2020.</t>
  </si>
  <si>
    <t xml:space="preserve">No Pluto landing has occurred; New Horizons only did a flyby in 2015</t>
  </si>
  <si>
    <t xml:space="preserve">Before vs After Performance Summary</t>
  </si>
  <si>
    <t xml:space="preserve">Metric</t>
  </si>
  <si>
    <t xml:space="preserve">Baseline</t>
  </si>
  <si>
    <t xml:space="preserve">Improved</t>
  </si>
  <si>
    <t xml:space="preserve">Delta</t>
  </si>
  <si>
    <t xml:space="preserve">Total questions</t>
  </si>
  <si>
    <t xml:space="preserve">Correct (Yes)</t>
  </si>
  <si>
    <t xml:space="preserve">Partial</t>
  </si>
  <si>
    <t xml:space="preserve">Incorrect (No)</t>
  </si>
  <si>
    <t xml:space="preserve">Hallucinations (Yes)</t>
  </si>
  <si>
    <t xml:space="preserve">Accuracy (% correct)</t>
  </si>
  <si>
    <t xml:space="preserve">Hallucination rate</t>
  </si>
  <si>
    <t xml:space="preserve">Per-Type Accuracy</t>
  </si>
  <si>
    <t xml:space="preserve">Total</t>
  </si>
  <si>
    <t xml:space="preserve">Baseline Correct</t>
  </si>
  <si>
    <t xml:space="preserve">Improved Correct</t>
  </si>
  <si>
    <t xml:space="preserve">Baseline %</t>
  </si>
  <si>
    <t xml:space="preserve">Improved 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</si>
</sst>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Calibri"/>
      <family val="0"/>
      <charset val="1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2"/>
      <color rgb="FF1F4E78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40"/>
    <col collapsed="false" customWidth="true" hidden="false" outlineLevel="0" max="4" min="4" style="0" width="36"/>
    <col collapsed="false" customWidth="true" hidden="false" outlineLevel="0" max="5" min="5" style="0" width="26"/>
    <col collapsed="false" customWidth="true" hidden="false" outlineLevel="0" max="6" min="6" style="0" width="50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26"/>
    <col collapsed="false" customWidth="true" hidden="false" outlineLevel="0" max="10" min="10" style="0" width="50"/>
    <col collapsed="false" customWidth="true" hidden="false" outlineLevel="0" max="11" min="11" style="0" width="14"/>
    <col collapsed="false" customWidth="true" hidden="false" outlineLevel="0" max="12" min="12" style="0" width="16"/>
    <col collapsed="false" customWidth="true" hidden="false" outlineLevel="0" max="14" min="13" style="0" width="28"/>
  </cols>
  <sheetData>
    <row r="1" customFormat="false" ht="31.5" hidden="false" customHeight="true" outlineLevel="0" collapsed="false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26</v>
      </c>
    </row>
    <row r="2" customFormat="false" ht="60" hidden="false" customHeight="true" outlineLevel="0" collapsed="false">
      <c r="A2" s="4" t="n">
        <v>1</v>
      </c>
      <c r="B2" s="5" t="s">
        <v>27</v>
      </c>
      <c r="C2" s="4" t="s">
        <v>28</v>
      </c>
      <c r="D2" s="4" t="s">
        <v>29</v>
      </c>
      <c r="E2" s="4"/>
      <c r="F2" s="4"/>
      <c r="G2" s="4"/>
      <c r="H2" s="4"/>
      <c r="I2" s="4"/>
      <c r="J2" s="4"/>
      <c r="K2" s="4"/>
      <c r="L2" s="4"/>
      <c r="M2" s="4"/>
      <c r="N2" s="4"/>
    </row>
    <row r="3" customFormat="false" ht="60" hidden="false" customHeight="true" outlineLevel="0" collapsed="false">
      <c r="A3" s="4" t="n">
        <v>2</v>
      </c>
      <c r="B3" s="5" t="s">
        <v>27</v>
      </c>
      <c r="C3" s="4" t="s">
        <v>30</v>
      </c>
      <c r="D3" s="4" t="s">
        <v>31</v>
      </c>
      <c r="E3" s="4"/>
      <c r="F3" s="4"/>
      <c r="G3" s="4"/>
      <c r="H3" s="4"/>
      <c r="I3" s="4"/>
      <c r="J3" s="4"/>
      <c r="K3" s="4"/>
      <c r="L3" s="4"/>
      <c r="M3" s="4"/>
      <c r="N3" s="4"/>
    </row>
    <row r="4" customFormat="false" ht="60" hidden="false" customHeight="true" outlineLevel="0" collapsed="false">
      <c r="A4" s="4" t="n">
        <v>3</v>
      </c>
      <c r="B4" s="5" t="s">
        <v>27</v>
      </c>
      <c r="C4" s="4" t="s">
        <v>32</v>
      </c>
      <c r="D4" s="4" t="s">
        <v>33</v>
      </c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60" hidden="false" customHeight="true" outlineLevel="0" collapsed="false">
      <c r="A5" s="4" t="n">
        <v>4</v>
      </c>
      <c r="B5" s="5" t="s">
        <v>27</v>
      </c>
      <c r="C5" s="4" t="s">
        <v>34</v>
      </c>
      <c r="D5" s="4" t="s">
        <v>35</v>
      </c>
      <c r="E5" s="4"/>
      <c r="F5" s="4"/>
      <c r="G5" s="4"/>
      <c r="H5" s="4"/>
      <c r="I5" s="4"/>
      <c r="J5" s="4"/>
      <c r="K5" s="4"/>
      <c r="L5" s="4"/>
      <c r="M5" s="4"/>
      <c r="N5" s="4"/>
    </row>
    <row r="6" customFormat="false" ht="60" hidden="false" customHeight="true" outlineLevel="0" collapsed="false">
      <c r="A6" s="4" t="n">
        <v>5</v>
      </c>
      <c r="B6" s="5" t="s">
        <v>27</v>
      </c>
      <c r="C6" s="4" t="s">
        <v>36</v>
      </c>
      <c r="D6" s="4" t="s">
        <v>37</v>
      </c>
      <c r="E6" s="4"/>
      <c r="F6" s="4"/>
      <c r="G6" s="4"/>
      <c r="H6" s="4"/>
      <c r="I6" s="4"/>
      <c r="J6" s="4"/>
      <c r="K6" s="4"/>
      <c r="L6" s="4"/>
      <c r="M6" s="4"/>
      <c r="N6" s="4"/>
    </row>
    <row r="7" customFormat="false" ht="60" hidden="false" customHeight="true" outlineLevel="0" collapsed="false">
      <c r="A7" s="4" t="n">
        <v>6</v>
      </c>
      <c r="B7" s="5" t="s">
        <v>27</v>
      </c>
      <c r="C7" s="4" t="s">
        <v>38</v>
      </c>
      <c r="D7" s="4" t="s">
        <v>39</v>
      </c>
      <c r="E7" s="4"/>
      <c r="F7" s="4"/>
      <c r="G7" s="4"/>
      <c r="H7" s="4"/>
      <c r="I7" s="4"/>
      <c r="J7" s="4"/>
      <c r="K7" s="4"/>
      <c r="L7" s="4"/>
      <c r="M7" s="4"/>
      <c r="N7" s="4"/>
    </row>
    <row r="8" customFormat="false" ht="60" hidden="false" customHeight="true" outlineLevel="0" collapsed="false">
      <c r="A8" s="4" t="n">
        <v>7</v>
      </c>
      <c r="B8" s="6" t="s">
        <v>40</v>
      </c>
      <c r="C8" s="4" t="s">
        <v>41</v>
      </c>
      <c r="D8" s="4" t="s">
        <v>42</v>
      </c>
      <c r="E8" s="4"/>
      <c r="F8" s="4"/>
      <c r="G8" s="4"/>
      <c r="H8" s="4"/>
      <c r="I8" s="4"/>
      <c r="J8" s="4"/>
      <c r="K8" s="4"/>
      <c r="L8" s="4"/>
      <c r="M8" s="4"/>
      <c r="N8" s="4"/>
    </row>
    <row r="9" customFormat="false" ht="60" hidden="false" customHeight="true" outlineLevel="0" collapsed="false">
      <c r="A9" s="4" t="n">
        <v>8</v>
      </c>
      <c r="B9" s="6" t="s">
        <v>40</v>
      </c>
      <c r="C9" s="4" t="s">
        <v>43</v>
      </c>
      <c r="D9" s="4" t="s">
        <v>44</v>
      </c>
      <c r="E9" s="4"/>
      <c r="F9" s="4"/>
      <c r="G9" s="4"/>
      <c r="H9" s="4"/>
      <c r="I9" s="4"/>
      <c r="J9" s="4"/>
      <c r="K9" s="4"/>
      <c r="L9" s="4"/>
      <c r="M9" s="4"/>
      <c r="N9" s="4"/>
    </row>
    <row r="10" customFormat="false" ht="60" hidden="false" customHeight="true" outlineLevel="0" collapsed="false">
      <c r="A10" s="4" t="n">
        <v>9</v>
      </c>
      <c r="B10" s="6" t="s">
        <v>40</v>
      </c>
      <c r="C10" s="4" t="s">
        <v>45</v>
      </c>
      <c r="D10" s="4" t="s">
        <v>46</v>
      </c>
      <c r="E10" s="4"/>
      <c r="F10" s="4"/>
      <c r="G10" s="4"/>
      <c r="H10" s="4"/>
      <c r="I10" s="4"/>
      <c r="J10" s="4"/>
      <c r="K10" s="4"/>
      <c r="L10" s="4"/>
      <c r="M10" s="4"/>
      <c r="N10" s="4"/>
    </row>
    <row r="11" customFormat="false" ht="60" hidden="false" customHeight="true" outlineLevel="0" collapsed="false">
      <c r="A11" s="4" t="n">
        <v>10</v>
      </c>
      <c r="B11" s="6" t="s">
        <v>40</v>
      </c>
      <c r="C11" s="4" t="s">
        <v>47</v>
      </c>
      <c r="D11" s="4" t="s">
        <v>48</v>
      </c>
      <c r="E11" s="4"/>
      <c r="F11" s="4"/>
      <c r="G11" s="4"/>
      <c r="H11" s="4"/>
      <c r="I11" s="4"/>
      <c r="J11" s="4"/>
      <c r="K11" s="4"/>
      <c r="L11" s="4"/>
      <c r="M11" s="4"/>
      <c r="N11" s="4"/>
    </row>
    <row r="12" customFormat="false" ht="60" hidden="false" customHeight="true" outlineLevel="0" collapsed="false">
      <c r="A12" s="4" t="n">
        <v>11</v>
      </c>
      <c r="B12" s="6" t="s">
        <v>40</v>
      </c>
      <c r="C12" s="4" t="s">
        <v>49</v>
      </c>
      <c r="D12" s="4" t="s">
        <v>50</v>
      </c>
      <c r="E12" s="4"/>
      <c r="F12" s="4"/>
      <c r="G12" s="4"/>
      <c r="H12" s="4"/>
      <c r="I12" s="4"/>
      <c r="J12" s="4"/>
      <c r="K12" s="4"/>
      <c r="L12" s="4"/>
      <c r="M12" s="4"/>
      <c r="N12" s="4"/>
    </row>
    <row r="13" customFormat="false" ht="60" hidden="false" customHeight="true" outlineLevel="0" collapsed="false">
      <c r="A13" s="4" t="n">
        <v>12</v>
      </c>
      <c r="B13" s="7" t="s">
        <v>51</v>
      </c>
      <c r="C13" s="4" t="s">
        <v>52</v>
      </c>
      <c r="D13" s="4" t="s">
        <v>53</v>
      </c>
      <c r="E13" s="4"/>
      <c r="F13" s="4"/>
      <c r="G13" s="4"/>
      <c r="H13" s="4"/>
      <c r="I13" s="4"/>
      <c r="J13" s="4"/>
      <c r="K13" s="4"/>
      <c r="L13" s="4"/>
      <c r="M13" s="4"/>
      <c r="N13" s="4"/>
    </row>
    <row r="14" customFormat="false" ht="60" hidden="false" customHeight="true" outlineLevel="0" collapsed="false">
      <c r="A14" s="4" t="n">
        <v>13</v>
      </c>
      <c r="B14" s="7" t="s">
        <v>51</v>
      </c>
      <c r="C14" s="4" t="s">
        <v>54</v>
      </c>
      <c r="D14" s="4" t="s">
        <v>55</v>
      </c>
      <c r="E14" s="4"/>
      <c r="F14" s="4"/>
      <c r="G14" s="4"/>
      <c r="H14" s="4"/>
      <c r="I14" s="4"/>
      <c r="J14" s="4"/>
      <c r="K14" s="4"/>
      <c r="L14" s="4"/>
      <c r="M14" s="4"/>
      <c r="N14" s="4"/>
    </row>
    <row r="15" customFormat="false" ht="60" hidden="false" customHeight="true" outlineLevel="0" collapsed="false">
      <c r="A15" s="4" t="n">
        <v>14</v>
      </c>
      <c r="B15" s="7" t="s">
        <v>51</v>
      </c>
      <c r="C15" s="4" t="s">
        <v>56</v>
      </c>
      <c r="D15" s="4" t="s">
        <v>57</v>
      </c>
      <c r="E15" s="4"/>
      <c r="F15" s="4"/>
      <c r="G15" s="4"/>
      <c r="H15" s="4"/>
      <c r="I15" s="4"/>
      <c r="J15" s="4"/>
      <c r="K15" s="4"/>
      <c r="L15" s="4"/>
      <c r="M15" s="4"/>
      <c r="N15" s="4"/>
    </row>
    <row r="16" customFormat="false" ht="60" hidden="false" customHeight="true" outlineLevel="0" collapsed="false">
      <c r="A16" s="4" t="n">
        <v>15</v>
      </c>
      <c r="B16" s="7" t="s">
        <v>51</v>
      </c>
      <c r="C16" s="4" t="s">
        <v>58</v>
      </c>
      <c r="D16" s="4" t="s">
        <v>59</v>
      </c>
      <c r="E16" s="4"/>
      <c r="F16" s="4"/>
      <c r="G16" s="4"/>
      <c r="H16" s="4"/>
      <c r="I16" s="4"/>
      <c r="J16" s="4"/>
      <c r="K16" s="4"/>
      <c r="L16" s="4"/>
      <c r="M16" s="4"/>
      <c r="N16" s="4"/>
    </row>
    <row r="17" customFormat="false" ht="60" hidden="false" customHeight="true" outlineLevel="0" collapsed="false">
      <c r="A17" s="4" t="n">
        <v>16</v>
      </c>
      <c r="B17" s="8" t="s">
        <v>60</v>
      </c>
      <c r="C17" s="4" t="s">
        <v>61</v>
      </c>
      <c r="D17" s="4" t="s">
        <v>62</v>
      </c>
      <c r="E17" s="4"/>
      <c r="F17" s="4"/>
      <c r="G17" s="4"/>
      <c r="H17" s="4"/>
      <c r="I17" s="4"/>
      <c r="J17" s="4"/>
      <c r="K17" s="4"/>
      <c r="L17" s="4"/>
      <c r="M17" s="4"/>
      <c r="N17" s="4"/>
    </row>
    <row r="18" customFormat="false" ht="60" hidden="false" customHeight="true" outlineLevel="0" collapsed="false">
      <c r="A18" s="4" t="n">
        <v>17</v>
      </c>
      <c r="B18" s="8" t="s">
        <v>60</v>
      </c>
      <c r="C18" s="4" t="s">
        <v>63</v>
      </c>
      <c r="D18" s="4" t="s">
        <v>64</v>
      </c>
      <c r="E18" s="4"/>
      <c r="F18" s="4"/>
      <c r="G18" s="4"/>
      <c r="H18" s="4"/>
      <c r="I18" s="4"/>
      <c r="J18" s="4"/>
      <c r="K18" s="4"/>
      <c r="L18" s="4"/>
      <c r="M18" s="4"/>
      <c r="N18" s="4"/>
    </row>
    <row r="19" customFormat="false" ht="60" hidden="false" customHeight="true" outlineLevel="0" collapsed="false">
      <c r="A19" s="4" t="n">
        <v>18</v>
      </c>
      <c r="B19" s="8" t="s">
        <v>60</v>
      </c>
      <c r="C19" s="4" t="s">
        <v>65</v>
      </c>
      <c r="D19" s="4" t="s">
        <v>66</v>
      </c>
      <c r="E19" s="4"/>
      <c r="F19" s="4"/>
      <c r="G19" s="4"/>
      <c r="H19" s="4"/>
      <c r="I19" s="4"/>
      <c r="J19" s="4"/>
      <c r="K19" s="4"/>
      <c r="L19" s="4"/>
      <c r="M19" s="4"/>
      <c r="N19" s="4"/>
    </row>
  </sheetData>
  <dataValidations count="2">
    <dataValidation allowBlank="true" errorStyle="stop" operator="between" showDropDown="false" showErrorMessage="false" showInputMessage="false" sqref="G2:G19 K2:K19" type="list">
      <formula1>"Yes,Partial,No"</formula1>
      <formula2>0</formula2>
    </dataValidation>
    <dataValidation allowBlank="true" errorStyle="stop" operator="between" showDropDown="false" showErrorMessage="false" showInputMessage="false" sqref="H2:H19 L2:L19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6" min="2" style="0" width="14"/>
  </cols>
  <sheetData>
    <row r="1" customFormat="false" ht="17.35" hidden="false" customHeight="false" outlineLevel="0" collapsed="false">
      <c r="A1" s="9" t="s">
        <v>67</v>
      </c>
      <c r="B1" s="9"/>
      <c r="C1" s="9"/>
      <c r="D1" s="9"/>
    </row>
    <row r="3" customFormat="false" ht="15" hidden="false" customHeight="false" outlineLevel="0" collapsed="false">
      <c r="A3" s="3" t="s">
        <v>68</v>
      </c>
      <c r="B3" s="3" t="s">
        <v>69</v>
      </c>
      <c r="C3" s="3" t="s">
        <v>70</v>
      </c>
      <c r="D3" s="3" t="s">
        <v>71</v>
      </c>
    </row>
    <row r="4" customFormat="false" ht="15" hidden="false" customHeight="false" outlineLevel="0" collapsed="false">
      <c r="A4" s="10" t="s">
        <v>72</v>
      </c>
      <c r="B4" s="10" t="n">
        <f aca="false">COUNTA('Evaluation Table'!C2:C19)</f>
        <v>18</v>
      </c>
      <c r="C4" s="10" t="n">
        <f aca="false">COUNTA('Evaluation Table'!C2:C19)</f>
        <v>18</v>
      </c>
      <c r="D4" s="10" t="n">
        <f aca="false">C4-B4</f>
        <v>0</v>
      </c>
    </row>
    <row r="5" customFormat="false" ht="15" hidden="false" customHeight="false" outlineLevel="0" collapsed="false">
      <c r="A5" s="10" t="s">
        <v>73</v>
      </c>
      <c r="B5" s="10" t="n">
        <f aca="false">COUNTIF('Evaluation Table'!G2:G19,"Yes")</f>
        <v>0</v>
      </c>
      <c r="C5" s="10" t="n">
        <f aca="false">COUNTIF('Evaluation Table'!K2:K19,"Yes")</f>
        <v>0</v>
      </c>
      <c r="D5" s="10" t="n">
        <f aca="false">C5-B5</f>
        <v>0</v>
      </c>
    </row>
    <row r="6" customFormat="false" ht="15" hidden="false" customHeight="false" outlineLevel="0" collapsed="false">
      <c r="A6" s="10" t="s">
        <v>74</v>
      </c>
      <c r="B6" s="10" t="n">
        <f aca="false">COUNTIF('Evaluation Table'!G2:G19,"Partial")</f>
        <v>0</v>
      </c>
      <c r="C6" s="10" t="n">
        <f aca="false">COUNTIF('Evaluation Table'!K2:K19,"Partial")</f>
        <v>0</v>
      </c>
      <c r="D6" s="10" t="n">
        <f aca="false">C6-B6</f>
        <v>0</v>
      </c>
    </row>
    <row r="7" customFormat="false" ht="15" hidden="false" customHeight="false" outlineLevel="0" collapsed="false">
      <c r="A7" s="10" t="s">
        <v>75</v>
      </c>
      <c r="B7" s="10" t="n">
        <f aca="false">COUNTIF('Evaluation Table'!G2:G19,"No")</f>
        <v>0</v>
      </c>
      <c r="C7" s="10" t="n">
        <f aca="false">COUNTIF('Evaluation Table'!K2:K19,"No")</f>
        <v>0</v>
      </c>
      <c r="D7" s="10" t="n">
        <f aca="false">C7-B7</f>
        <v>0</v>
      </c>
    </row>
    <row r="8" customFormat="false" ht="15" hidden="false" customHeight="false" outlineLevel="0" collapsed="false">
      <c r="A8" s="10" t="s">
        <v>76</v>
      </c>
      <c r="B8" s="10" t="n">
        <f aca="false">COUNTIF('Evaluation Table'!H2:H19,"Yes")</f>
        <v>0</v>
      </c>
      <c r="C8" s="10" t="n">
        <f aca="false">COUNTIF('Evaluation Table'!L2:L19,"Yes")</f>
        <v>0</v>
      </c>
      <c r="D8" s="10" t="n">
        <f aca="false">C8-B8</f>
        <v>0</v>
      </c>
    </row>
    <row r="9" customFormat="false" ht="15" hidden="false" customHeight="false" outlineLevel="0" collapsed="false">
      <c r="A9" s="10" t="s">
        <v>77</v>
      </c>
      <c r="B9" s="11" t="n">
        <f aca="false">B5/B4</f>
        <v>0</v>
      </c>
      <c r="C9" s="11" t="n">
        <f aca="false">C5/C4</f>
        <v>0</v>
      </c>
      <c r="D9" s="11" t="n">
        <f aca="false">C9-B9</f>
        <v>0</v>
      </c>
    </row>
    <row r="10" customFormat="false" ht="15" hidden="false" customHeight="false" outlineLevel="0" collapsed="false">
      <c r="A10" s="10" t="s">
        <v>78</v>
      </c>
      <c r="B10" s="11" t="n">
        <f aca="false">B8/B4</f>
        <v>0</v>
      </c>
      <c r="C10" s="11" t="n">
        <f aca="false">C8/C4</f>
        <v>0</v>
      </c>
      <c r="D10" s="11" t="n">
        <f aca="false">C10-B10</f>
        <v>0</v>
      </c>
    </row>
    <row r="13" customFormat="false" ht="15" hidden="false" customHeight="false" outlineLevel="0" collapsed="false">
      <c r="A13" s="12" t="s">
        <v>79</v>
      </c>
    </row>
    <row r="14" customFormat="false" ht="23.85" hidden="false" customHeight="false" outlineLevel="0" collapsed="false">
      <c r="A14" s="3" t="s">
        <v>14</v>
      </c>
      <c r="B14" s="3" t="s">
        <v>80</v>
      </c>
      <c r="C14" s="3" t="s">
        <v>81</v>
      </c>
      <c r="D14" s="3" t="s">
        <v>82</v>
      </c>
      <c r="E14" s="3" t="s">
        <v>83</v>
      </c>
      <c r="F14" s="3" t="s">
        <v>84</v>
      </c>
    </row>
    <row r="15" customFormat="false" ht="15" hidden="false" customHeight="false" outlineLevel="0" collapsed="false">
      <c r="A15" s="13" t="s">
        <v>27</v>
      </c>
      <c r="B15" s="13" t="n">
        <f aca="false">COUNTIF('Evaluation Table'!B2:B19,"factual")</f>
        <v>6</v>
      </c>
      <c r="C15" s="13" t="n">
        <f aca="false">COUNTIFS('Evaluation Table'!B2:B19,"factual",'Evaluation Table'!G2:G19,"Yes")</f>
        <v>0</v>
      </c>
      <c r="D15" s="13" t="n">
        <f aca="false">COUNTIFS('Evaluation Table'!B2:B19,"factual",'Evaluation Table'!K2:K19,"Yes")</f>
        <v>0</v>
      </c>
      <c r="E15" s="14" t="n">
        <f aca="false">IFERROR(C15/B15,0)</f>
        <v>0</v>
      </c>
      <c r="F15" s="14" t="n">
        <f aca="false">IFERROR(D15/B15,0)</f>
        <v>0</v>
      </c>
    </row>
    <row r="16" customFormat="false" ht="15" hidden="false" customHeight="false" outlineLevel="0" collapsed="false">
      <c r="A16" s="13" t="s">
        <v>40</v>
      </c>
      <c r="B16" s="13" t="n">
        <f aca="false">COUNTIF('Evaluation Table'!B2:B19,"reasoning")</f>
        <v>5</v>
      </c>
      <c r="C16" s="13" t="n">
        <f aca="false">COUNTIFS('Evaluation Table'!B2:B19,"reasoning",'Evaluation Table'!G2:G19,"Yes")</f>
        <v>0</v>
      </c>
      <c r="D16" s="13" t="n">
        <f aca="false">COUNTIFS('Evaluation Table'!B2:B19,"reasoning",'Evaluation Table'!K2:K19,"Yes")</f>
        <v>0</v>
      </c>
      <c r="E16" s="14" t="n">
        <f aca="false">IFERROR(C16/B16,0)</f>
        <v>0</v>
      </c>
      <c r="F16" s="14" t="n">
        <f aca="false">IFERROR(D16/B16,0)</f>
        <v>0</v>
      </c>
    </row>
    <row r="17" customFormat="false" ht="15" hidden="false" customHeight="false" outlineLevel="0" collapsed="false">
      <c r="A17" s="13" t="s">
        <v>51</v>
      </c>
      <c r="B17" s="13" t="n">
        <f aca="false">COUNTIF('Evaluation Table'!B2:B19,"ambiguous")</f>
        <v>4</v>
      </c>
      <c r="C17" s="13" t="n">
        <f aca="false">COUNTIFS('Evaluation Table'!B2:B19,"ambiguous",'Evaluation Table'!G2:G19,"Yes")</f>
        <v>0</v>
      </c>
      <c r="D17" s="13" t="n">
        <f aca="false">COUNTIFS('Evaluation Table'!B2:B19,"ambiguous",'Evaluation Table'!K2:K19,"Yes")</f>
        <v>0</v>
      </c>
      <c r="E17" s="14" t="n">
        <f aca="false">IFERROR(C17/B17,0)</f>
        <v>0</v>
      </c>
      <c r="F17" s="14" t="n">
        <f aca="false">IFERROR(D17/B17,0)</f>
        <v>0</v>
      </c>
    </row>
    <row r="18" customFormat="false" ht="15" hidden="false" customHeight="false" outlineLevel="0" collapsed="false">
      <c r="A18" s="13" t="s">
        <v>60</v>
      </c>
      <c r="B18" s="13" t="n">
        <f aca="false">COUNTIF('Evaluation Table'!B2:B19,"hallucination")</f>
        <v>3</v>
      </c>
      <c r="C18" s="13" t="n">
        <f aca="false">COUNTIFS('Evaluation Table'!B2:B19,"hallucination",'Evaluation Table'!G2:G19,"Yes")</f>
        <v>0</v>
      </c>
      <c r="D18" s="13" t="n">
        <f aca="false">COUNTIFS('Evaluation Table'!B2:B19,"hallucination",'Evaluation Table'!K2:K19,"Yes")</f>
        <v>0</v>
      </c>
      <c r="E18" s="14" t="n">
        <f aca="false">IFERROR(C18/B18,0)</f>
        <v>0</v>
      </c>
      <c r="F18" s="14" t="n">
        <f aca="false">IFERROR(D18/B18,0)</f>
        <v>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2026-05-21T16:02:44Z</dcterms:created>
  <dc:creator>openpyxl</dc:creator>
  <dc:description/>
  <dc:language>en-US</dc:language>
  <cp:lastModifiedBy/>
  <dcterms:modified xsi:type="dcterms:W3CDTF">2026-05-21T16:02:44Z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